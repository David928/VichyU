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Visites" sheetId="1" state="visible" r:id="rId3"/>
    <sheet name="Tableau de Bord" sheetId="2" state="visible" r:id="rId4"/>
    <sheet name="Guide Cowork" sheetId="3" state="visible" r:id="rId5"/>
  </sheets>
  <definedNames>
    <definedName function="false" hidden="true" localSheetId="0" name="_xlnm._FilterDatabase" vbProcedure="false">'Suivi Visites'!$A$4:$N$15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<sst xmlns="http://schemas.openxmlformats.org/spreadsheetml/2006/main" count="195" uniqueCount="109">
  <si>
    <t xml:space="preserve">Vichy'U — Suivi des Visites Partenaires</t>
  </si>
  <si>
    <t xml:space="preserve">Kit de distribution v2 · Mis à jour le 23/03/2026</t>
  </si>
  <si>
    <t xml:space="preserve">Commerçant</t>
  </si>
  <si>
    <t xml:space="preserve">Catégorie</t>
  </si>
  <si>
    <t xml:space="preserve">Gérant</t>
  </si>
  <si>
    <t xml:space="preserve">Date visite</t>
  </si>
  <si>
    <t xml:space="preserve">Formule proposée</t>
  </si>
  <si>
    <t xml:space="preserve">Intérêt</t>
  </si>
  <si>
    <t xml:space="preserve">Statut</t>
  </si>
  <si>
    <t xml:space="preserve">Date relance</t>
  </si>
  <si>
    <t xml:space="preserve">Relancé ?</t>
  </si>
  <si>
    <t xml:space="preserve">Formule signée</t>
  </si>
  <si>
    <t xml:space="preserve">Économie / mois</t>
  </si>
  <si>
    <t xml:space="preserve">Code dashboard</t>
  </si>
  <si>
    <t xml:space="preserve">Notes</t>
  </si>
  <si>
    <t xml:space="preserve">Priorité</t>
  </si>
  <si>
    <t xml:space="preserve">O'Tacos</t>
  </si>
  <si>
    <t xml:space="preserve">Restos</t>
  </si>
  <si>
    <t xml:space="preserve">—</t>
  </si>
  <si>
    <t xml:space="preserve">23/03/2026</t>
  </si>
  <si>
    <t xml:space="preserve">Visible (9,90€)</t>
  </si>
  <si>
    <t xml:space="preserve">Signé ✅</t>
  </si>
  <si>
    <t xml:space="preserve">Partenaire actif</t>
  </si>
  <si>
    <t xml:space="preserve">Oui</t>
  </si>
  <si>
    <t xml:space="preserve">Visible</t>
  </si>
  <si>
    <t xml:space="preserve">9,90€</t>
  </si>
  <si>
    <t xml:space="preserve">OTACOS01</t>
  </si>
  <si>
    <t xml:space="preserve">Partenaire depuis mars 2026. Offre : 3ème tacos offert.</t>
  </si>
  <si>
    <t xml:space="preserve">⭐</t>
  </si>
  <si>
    <t xml:space="preserve">Parcours Ninja</t>
  </si>
  <si>
    <t xml:space="preserve">Loisirs</t>
  </si>
  <si>
    <t xml:space="preserve">Premium (49€)</t>
  </si>
  <si>
    <t xml:space="preserve">Premium</t>
  </si>
  <si>
    <t xml:space="preserve">49€</t>
  </si>
  <si>
    <t xml:space="preserve">NINJA001</t>
  </si>
  <si>
    <t xml:space="preserve">Partenaire Premium actif. 8€ par ninja.</t>
  </si>
  <si>
    <t xml:space="preserve">Crazy Jump Park</t>
  </si>
  <si>
    <t xml:space="preserve">Flash (9€)</t>
  </si>
  <si>
    <t xml:space="preserve">Intéressé 🔥</t>
  </si>
  <si>
    <t xml:space="preserve">Flash active</t>
  </si>
  <si>
    <t xml:space="preserve">Flash</t>
  </si>
  <si>
    <t xml:space="preserve">9€</t>
  </si>
  <si>
    <t xml:space="preserve">Flash active jusqu'au 30/04. À relancer pour abonnement.</t>
  </si>
  <si>
    <t xml:space="preserve">🔥</t>
  </si>
  <si>
    <t xml:space="preserve">Columbus Café</t>
  </si>
  <si>
    <t xml:space="preserve">À visiter</t>
  </si>
  <si>
    <t xml:space="preserve">À contacter</t>
  </si>
  <si>
    <t xml:space="preserve">26/03/2026</t>
  </si>
  <si>
    <t xml:space="preserve">Non</t>
  </si>
  <si>
    <t xml:space="preserve">Déjà listé Essentiel. Proposer upgrade Visible.</t>
  </si>
  <si>
    <t xml:space="preserve">🎯</t>
  </si>
  <si>
    <t xml:space="preserve">CGR Vichy</t>
  </si>
  <si>
    <t xml:space="preserve">28/03/2026</t>
  </si>
  <si>
    <t xml:space="preserve">CINEMA01</t>
  </si>
  <si>
    <t xml:space="preserve">Déjà listé Essentiel.</t>
  </si>
  <si>
    <t xml:space="preserve">Vertical Limit</t>
  </si>
  <si>
    <t xml:space="preserve">Sport</t>
  </si>
  <si>
    <t xml:space="preserve">Flash puis Visible</t>
  </si>
  <si>
    <t xml:space="preserve">30/03/2026</t>
  </si>
  <si>
    <t xml:space="preserve">Salle d'escalade. Public jeune = clientèle parfaite.</t>
  </si>
  <si>
    <t xml:space="preserve">Arca Bloc</t>
  </si>
  <si>
    <t xml:space="preserve">Escalade de bloc. Déjà listé Essentiel.</t>
  </si>
  <si>
    <t xml:space="preserve">Stade Aquatique</t>
  </si>
  <si>
    <t xml:space="preserve">02/04/2026</t>
  </si>
  <si>
    <t xml:space="preserve">📋</t>
  </si>
  <si>
    <t xml:space="preserve">Spacebowl</t>
  </si>
  <si>
    <t xml:space="preserve">Bowling + Laser Game. Double potentiel.</t>
  </si>
  <si>
    <t xml:space="preserve">Répar'Tout</t>
  </si>
  <si>
    <t xml:space="preserve">Tech</t>
  </si>
  <si>
    <t xml:space="preserve">06/04/2026</t>
  </si>
  <si>
    <t xml:space="preserve">Déjà listé Essentiel. Cible tech = bon profil.</t>
  </si>
  <si>
    <t xml:space="preserve">Musée de l'Opéra</t>
  </si>
  <si>
    <t xml:space="preserve">Culture</t>
  </si>
  <si>
    <t xml:space="preserve">Essentiel gratuit</t>
  </si>
  <si>
    <t xml:space="preserve">Déjà listé. Public culture moins facile à convertir.</t>
  </si>
  <si>
    <t xml:space="preserve">Vichy'U — Tableau de Bord Commercial</t>
  </si>
  <si>
    <t xml:space="preserve">Mis à jour le 23/03/2026</t>
  </si>
  <si>
    <t xml:space="preserve">🤝 Partenaires actifs</t>
  </si>
  <si>
    <t xml:space="preserve">⚡ Flashs vendus</t>
  </si>
  <si>
    <t xml:space="preserve">📋 À contacter</t>
  </si>
  <si>
    <t xml:space="preserve">💰 CA mensuel (€)</t>
  </si>
  <si>
    <t xml:space="preserve">Répartition par catégorie</t>
  </si>
  <si>
    <t xml:space="preserve">Total</t>
  </si>
  <si>
    <t xml:space="preserve">Actifs</t>
  </si>
  <si>
    <t xml:space="preserve">Guide — Comment utiliser ce tableau avec Cowork</t>
  </si>
  <si>
    <t xml:space="preserve">💬 EXEMPLES DE PHRASES À DIRE À COWORK</t>
  </si>
  <si>
    <t xml:space="preserve">Après une visite :</t>
  </si>
  <si>
    <t xml:space="preserve">« J'ai visité Columbus Café aujourd'hui, le gérant s'appelle Marc, il est intéressé par une Flash, je le relance vendredi. »</t>
  </si>
  <si>
    <t xml:space="preserve">« Visite chez Vertical Limit, pas intéressé pour l'instant, à recontacter dans 2 mois. »</t>
  </si>
  <si>
    <t xml:space="preserve">« Bowling Spacebowl a signé en Visible à 9,90€, code dashboard BOWL001. »</t>
  </si>
  <si>
    <t xml:space="preserve">Pour consulter :</t>
  </si>
  <si>
    <t xml:space="preserve">« Quels commerçants dois-je relancer cette semaine ? »</t>
  </si>
  <si>
    <t xml:space="preserve">« Combien de partenaires actifs j'ai en ce moment ? »</t>
  </si>
  <si>
    <t xml:space="preserve">« Montre-moi les visites que j'ai faites ce mois-ci. »</t>
  </si>
  <si>
    <t xml:space="preserve">Pour mettre à jour :</t>
  </si>
  <si>
    <t xml:space="preserve">« Marque O'Tacos comme relancé. »</t>
  </si>
  <si>
    <t xml:space="preserve">« Change le statut de Vertical Limit à Intéressé. »</t>
  </si>
  <si>
    <t xml:space="preserve">« Ajoute une note sur Columbus : le gérant préfère être contacté le matin. »</t>
  </si>
  <si>
    <t xml:space="preserve">📋 COLONNES ET VALEURS À UTILISER</t>
  </si>
  <si>
    <t xml:space="preserve">Colonne Statut :</t>
  </si>
  <si>
    <t xml:space="preserve">Partenaire actif / Flash active / À contacter / Relance en cours / Refus</t>
  </si>
  <si>
    <t xml:space="preserve">Colonne Intérêt :</t>
  </si>
  <si>
    <t xml:space="preserve">Signé ✅ / Intéressé 🔥 / À visiter / Pas intéressé</t>
  </si>
  <si>
    <t xml:space="preserve">Colonne Formule proposée :</t>
  </si>
  <si>
    <t xml:space="preserve">Flash (9€) / Essentiel gratuit / Visible (9,90€) / Premium (49€)</t>
  </si>
  <si>
    <t xml:space="preserve">Colonne Priorité :</t>
  </si>
  <si>
    <t xml:space="preserve">⭐ (déjà partenaire) / 🔥 (chaud) / 🎯 (à travailler) / 📋 (cold)</t>
  </si>
  <si>
    <t xml:space="preserve">💡 ASTUCE</t>
  </si>
  <si>
    <t xml:space="preserve">Au lancement de Cowork, dis-lui : « Utilise le fichier suivi_vichyu.xlsx comme tableau de bord pour mes visites partenaires Vichy'U. Chaque fois que je te parle d'une visite, mets à jour ce fichier. 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</si>
</sst>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36E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D3436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0"/>
      <color rgb="FF636E72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636E72"/>
      <name val="Arial"/>
      <family val="0"/>
      <charset val="1"/>
    </font>
    <font>
      <b val="true"/>
      <sz val="10"/>
      <color rgb="FF4954EC"/>
      <name val="Arial"/>
      <family val="0"/>
      <charset val="1"/>
    </font>
    <font>
      <b val="true"/>
      <sz val="22"/>
      <color rgb="FF4954EC"/>
      <name val="Arial"/>
      <family val="0"/>
      <charset val="1"/>
    </font>
    <font>
      <b val="true"/>
      <sz val="22"/>
      <color rgb="FFFF6B35"/>
      <name val="Arial"/>
      <family val="0"/>
      <charset val="1"/>
    </font>
    <font>
      <b val="true"/>
      <sz val="22"/>
      <color rgb="FF636E72"/>
      <name val="Arial"/>
      <family val="0"/>
      <charset val="1"/>
    </font>
    <font>
      <b val="true"/>
      <sz val="22"/>
      <color rgb="FF00B894"/>
      <name val="Arial"/>
      <family val="0"/>
      <charset val="1"/>
    </font>
    <font>
      <b val="true"/>
      <sz val="11"/>
      <color rgb="FF4954E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2D343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954EC"/>
        <bgColor rgb="FF8B5CF6"/>
      </patternFill>
    </fill>
    <fill>
      <patternFill patternType="solid">
        <fgColor rgb="FFEEF0FF"/>
        <bgColor rgb="FFF5F0FF"/>
      </patternFill>
    </fill>
    <fill>
      <patternFill patternType="solid">
        <fgColor rgb="FFFFFFFF"/>
        <bgColor rgb="FFFFFBF0"/>
      </patternFill>
    </fill>
    <fill>
      <patternFill patternType="solid">
        <fgColor rgb="FFE8FFF9"/>
        <bgColor rgb="FFF8F9FE"/>
      </patternFill>
    </fill>
    <fill>
      <patternFill patternType="solid">
        <fgColor rgb="FFFFFBF0"/>
        <bgColor rgb="FFFFFFFF"/>
      </patternFill>
    </fill>
    <fill>
      <patternFill patternType="solid">
        <fgColor rgb="FFF8F9FE"/>
        <bgColor rgb="FFFFFFFF"/>
      </patternFill>
    </fill>
    <fill>
      <patternFill patternType="solid">
        <fgColor rgb="FFF5F0FF"/>
        <bgColor rgb="FFEEF0FF"/>
      </patternFill>
    </fill>
    <fill>
      <patternFill patternType="solid">
        <fgColor rgb="FFFFF3E0"/>
        <bgColor rgb="FFFFFB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954EC"/>
          <bgColor rgb="FF000000"/>
        </patternFill>
      </fill>
    </dxf>
    <dxf>
      <fill>
        <patternFill patternType="solid">
          <fgColor rgb="FFF8F9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D3436"/>
          <bgColor rgb="FF000000"/>
        </patternFill>
      </fill>
    </dxf>
    <dxf>
      <fill>
        <patternFill patternType="solid">
          <fgColor rgb="FFE8FFF9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00B894"/>
          <bgColor rgb="FF000000"/>
        </patternFill>
      </fill>
    </dxf>
    <dxf>
      <fill>
        <patternFill patternType="solid">
          <fgColor rgb="FF636E72"/>
          <bgColor rgb="FF000000"/>
        </patternFill>
      </fill>
    </dxf>
    <dxf>
      <fill>
        <patternFill patternType="solid">
          <fgColor rgb="FFFF6B35"/>
          <bgColor rgb="FF000000"/>
        </patternFill>
      </fill>
    </dxf>
    <dxf>
      <fill>
        <patternFill patternType="solid">
          <fgColor rgb="FFF5F0FF"/>
          <bgColor rgb="FF000000"/>
        </patternFill>
      </fill>
    </dxf>
    <dxf>
      <fill>
        <patternFill patternType="solid">
          <fgColor rgb="FFFFFBF0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B77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8B5CF6"/>
      <rgbColor rgb="FF993366"/>
      <rgbColor rgb="FFFFF3E0"/>
      <rgbColor rgb="FFE8FFF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F"/>
      <rgbColor rgb="FFF8F9FE"/>
      <rgbColor rgb="FFFFFBF0"/>
      <rgbColor rgb="FF99CCFF"/>
      <rgbColor rgb="FFFF99CC"/>
      <rgbColor rgb="FFCC99FF"/>
      <rgbColor rgb="FFF5F0FF"/>
      <rgbColor rgb="FF4954EC"/>
      <rgbColor rgb="FF00B894"/>
      <rgbColor rgb="FF99CC00"/>
      <rgbColor rgb="FFFFCC00"/>
      <rgbColor rgb="FFFF9900"/>
      <rgbColor rgb="FFFF6B35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4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6" t="s">
        <v>21</v>
      </c>
      <c r="G5" s="7" t="s">
        <v>22</v>
      </c>
      <c r="H5" s="5" t="s">
        <v>18</v>
      </c>
      <c r="I5" s="5" t="s">
        <v>23</v>
      </c>
      <c r="J5" s="8" t="s">
        <v>24</v>
      </c>
      <c r="K5" s="5" t="s">
        <v>25</v>
      </c>
      <c r="L5" s="5" t="s">
        <v>26</v>
      </c>
      <c r="M5" s="4" t="s">
        <v>27</v>
      </c>
      <c r="N5" s="5" t="s">
        <v>28</v>
      </c>
    </row>
    <row r="6" customFormat="false" ht="24" hidden="false" customHeight="true" outlineLevel="0" collapsed="false">
      <c r="A6" s="9" t="s">
        <v>29</v>
      </c>
      <c r="B6" s="10" t="s">
        <v>30</v>
      </c>
      <c r="C6" s="10" t="s">
        <v>18</v>
      </c>
      <c r="D6" s="10" t="s">
        <v>19</v>
      </c>
      <c r="E6" s="10" t="s">
        <v>31</v>
      </c>
      <c r="F6" s="6" t="s">
        <v>21</v>
      </c>
      <c r="G6" s="7" t="s">
        <v>22</v>
      </c>
      <c r="H6" s="10" t="s">
        <v>18</v>
      </c>
      <c r="I6" s="10" t="s">
        <v>23</v>
      </c>
      <c r="J6" s="11" t="s">
        <v>32</v>
      </c>
      <c r="K6" s="10" t="s">
        <v>33</v>
      </c>
      <c r="L6" s="10" t="s">
        <v>34</v>
      </c>
      <c r="M6" s="9" t="s">
        <v>35</v>
      </c>
      <c r="N6" s="10" t="s">
        <v>28</v>
      </c>
    </row>
    <row r="7" customFormat="false" ht="24" hidden="false" customHeight="true" outlineLevel="0" collapsed="false">
      <c r="A7" s="4" t="s">
        <v>36</v>
      </c>
      <c r="B7" s="5" t="s">
        <v>30</v>
      </c>
      <c r="C7" s="5" t="s">
        <v>18</v>
      </c>
      <c r="D7" s="5" t="s">
        <v>19</v>
      </c>
      <c r="E7" s="5" t="s">
        <v>37</v>
      </c>
      <c r="F7" s="12" t="s">
        <v>38</v>
      </c>
      <c r="G7" s="13" t="s">
        <v>39</v>
      </c>
      <c r="H7" s="5" t="s">
        <v>18</v>
      </c>
      <c r="I7" s="5" t="s">
        <v>23</v>
      </c>
      <c r="J7" s="13" t="s">
        <v>40</v>
      </c>
      <c r="K7" s="5" t="s">
        <v>41</v>
      </c>
      <c r="L7" s="5" t="s">
        <v>18</v>
      </c>
      <c r="M7" s="4" t="s">
        <v>42</v>
      </c>
      <c r="N7" s="5" t="s">
        <v>43</v>
      </c>
    </row>
    <row r="8" customFormat="false" ht="24" hidden="false" customHeight="true" outlineLevel="0" collapsed="false">
      <c r="A8" s="9" t="s">
        <v>44</v>
      </c>
      <c r="B8" s="10" t="s">
        <v>17</v>
      </c>
      <c r="C8" s="10"/>
      <c r="D8" s="10"/>
      <c r="E8" s="10" t="s">
        <v>20</v>
      </c>
      <c r="F8" s="10" t="s">
        <v>45</v>
      </c>
      <c r="G8" s="14" t="s">
        <v>46</v>
      </c>
      <c r="H8" s="10" t="s">
        <v>47</v>
      </c>
      <c r="I8" s="10" t="s">
        <v>48</v>
      </c>
      <c r="J8" s="10" t="s">
        <v>18</v>
      </c>
      <c r="K8" s="10" t="s">
        <v>18</v>
      </c>
      <c r="L8" s="10" t="s">
        <v>18</v>
      </c>
      <c r="M8" s="9" t="s">
        <v>49</v>
      </c>
      <c r="N8" s="10" t="s">
        <v>50</v>
      </c>
    </row>
    <row r="9" customFormat="false" ht="24" hidden="false" customHeight="true" outlineLevel="0" collapsed="false">
      <c r="A9" s="4" t="s">
        <v>51</v>
      </c>
      <c r="B9" s="5" t="s">
        <v>30</v>
      </c>
      <c r="C9" s="5"/>
      <c r="D9" s="5"/>
      <c r="E9" s="5" t="s">
        <v>20</v>
      </c>
      <c r="F9" s="10" t="s">
        <v>45</v>
      </c>
      <c r="G9" s="14" t="s">
        <v>46</v>
      </c>
      <c r="H9" s="5" t="s">
        <v>52</v>
      </c>
      <c r="I9" s="5" t="s">
        <v>48</v>
      </c>
      <c r="J9" s="5" t="s">
        <v>18</v>
      </c>
      <c r="K9" s="5" t="s">
        <v>18</v>
      </c>
      <c r="L9" s="5" t="s">
        <v>53</v>
      </c>
      <c r="M9" s="4" t="s">
        <v>54</v>
      </c>
      <c r="N9" s="5" t="s">
        <v>50</v>
      </c>
    </row>
    <row r="10" customFormat="false" ht="24" hidden="false" customHeight="true" outlineLevel="0" collapsed="false">
      <c r="A10" s="9" t="s">
        <v>55</v>
      </c>
      <c r="B10" s="10" t="s">
        <v>56</v>
      </c>
      <c r="C10" s="10"/>
      <c r="D10" s="10"/>
      <c r="E10" s="10" t="s">
        <v>57</v>
      </c>
      <c r="F10" s="10" t="s">
        <v>45</v>
      </c>
      <c r="G10" s="14" t="s">
        <v>46</v>
      </c>
      <c r="H10" s="10" t="s">
        <v>58</v>
      </c>
      <c r="I10" s="10" t="s">
        <v>48</v>
      </c>
      <c r="J10" s="10" t="s">
        <v>18</v>
      </c>
      <c r="K10" s="10" t="s">
        <v>18</v>
      </c>
      <c r="L10" s="10" t="s">
        <v>18</v>
      </c>
      <c r="M10" s="9" t="s">
        <v>59</v>
      </c>
      <c r="N10" s="10" t="s">
        <v>43</v>
      </c>
    </row>
    <row r="11" customFormat="false" ht="24" hidden="false" customHeight="true" outlineLevel="0" collapsed="false">
      <c r="A11" s="4" t="s">
        <v>60</v>
      </c>
      <c r="B11" s="5" t="s">
        <v>56</v>
      </c>
      <c r="C11" s="5"/>
      <c r="D11" s="5"/>
      <c r="E11" s="5" t="s">
        <v>57</v>
      </c>
      <c r="F11" s="10" t="s">
        <v>45</v>
      </c>
      <c r="G11" s="14" t="s">
        <v>46</v>
      </c>
      <c r="H11" s="5" t="s">
        <v>58</v>
      </c>
      <c r="I11" s="5" t="s">
        <v>48</v>
      </c>
      <c r="J11" s="5" t="s">
        <v>18</v>
      </c>
      <c r="K11" s="5" t="s">
        <v>18</v>
      </c>
      <c r="L11" s="5" t="s">
        <v>18</v>
      </c>
      <c r="M11" s="4" t="s">
        <v>61</v>
      </c>
      <c r="N11" s="5" t="s">
        <v>50</v>
      </c>
    </row>
    <row r="12" customFormat="false" ht="24" hidden="false" customHeight="true" outlineLevel="0" collapsed="false">
      <c r="A12" s="9" t="s">
        <v>62</v>
      </c>
      <c r="B12" s="10" t="s">
        <v>56</v>
      </c>
      <c r="C12" s="10"/>
      <c r="D12" s="10"/>
      <c r="E12" s="10" t="s">
        <v>20</v>
      </c>
      <c r="F12" s="10" t="s">
        <v>45</v>
      </c>
      <c r="G12" s="14" t="s">
        <v>46</v>
      </c>
      <c r="H12" s="10" t="s">
        <v>63</v>
      </c>
      <c r="I12" s="10" t="s">
        <v>48</v>
      </c>
      <c r="J12" s="10" t="s">
        <v>18</v>
      </c>
      <c r="K12" s="10" t="s">
        <v>18</v>
      </c>
      <c r="L12" s="10" t="s">
        <v>18</v>
      </c>
      <c r="M12" s="9" t="s">
        <v>54</v>
      </c>
      <c r="N12" s="10" t="s">
        <v>64</v>
      </c>
    </row>
    <row r="13" customFormat="false" ht="24" hidden="false" customHeight="true" outlineLevel="0" collapsed="false">
      <c r="A13" s="4" t="s">
        <v>65</v>
      </c>
      <c r="B13" s="5" t="s">
        <v>30</v>
      </c>
      <c r="C13" s="5"/>
      <c r="D13" s="5"/>
      <c r="E13" s="5" t="s">
        <v>57</v>
      </c>
      <c r="F13" s="10" t="s">
        <v>45</v>
      </c>
      <c r="G13" s="14" t="s">
        <v>46</v>
      </c>
      <c r="H13" s="5" t="s">
        <v>63</v>
      </c>
      <c r="I13" s="5" t="s">
        <v>48</v>
      </c>
      <c r="J13" s="5" t="s">
        <v>18</v>
      </c>
      <c r="K13" s="5" t="s">
        <v>18</v>
      </c>
      <c r="L13" s="5" t="s">
        <v>18</v>
      </c>
      <c r="M13" s="4" t="s">
        <v>66</v>
      </c>
      <c r="N13" s="5" t="s">
        <v>50</v>
      </c>
    </row>
    <row r="14" customFormat="false" ht="24" hidden="false" customHeight="true" outlineLevel="0" collapsed="false">
      <c r="A14" s="9" t="s">
        <v>67</v>
      </c>
      <c r="B14" s="10" t="s">
        <v>68</v>
      </c>
      <c r="C14" s="10"/>
      <c r="D14" s="10"/>
      <c r="E14" s="10" t="s">
        <v>20</v>
      </c>
      <c r="F14" s="10" t="s">
        <v>45</v>
      </c>
      <c r="G14" s="14" t="s">
        <v>46</v>
      </c>
      <c r="H14" s="10" t="s">
        <v>69</v>
      </c>
      <c r="I14" s="10" t="s">
        <v>48</v>
      </c>
      <c r="J14" s="10" t="s">
        <v>18</v>
      </c>
      <c r="K14" s="10" t="s">
        <v>18</v>
      </c>
      <c r="L14" s="10" t="s">
        <v>18</v>
      </c>
      <c r="M14" s="9" t="s">
        <v>70</v>
      </c>
      <c r="N14" s="10" t="s">
        <v>64</v>
      </c>
    </row>
    <row r="15" customFormat="false" ht="24" hidden="false" customHeight="true" outlineLevel="0" collapsed="false">
      <c r="A15" s="4" t="s">
        <v>71</v>
      </c>
      <c r="B15" s="5" t="s">
        <v>72</v>
      </c>
      <c r="C15" s="5"/>
      <c r="D15" s="5"/>
      <c r="E15" s="5" t="s">
        <v>73</v>
      </c>
      <c r="F15" s="10" t="s">
        <v>45</v>
      </c>
      <c r="G15" s="14" t="s">
        <v>46</v>
      </c>
      <c r="H15" s="5" t="s">
        <v>69</v>
      </c>
      <c r="I15" s="5" t="s">
        <v>48</v>
      </c>
      <c r="J15" s="5" t="s">
        <v>18</v>
      </c>
      <c r="K15" s="5" t="s">
        <v>18</v>
      </c>
      <c r="L15" s="5" t="s">
        <v>18</v>
      </c>
      <c r="M15" s="4" t="s">
        <v>74</v>
      </c>
      <c r="N15" s="5" t="s">
        <v>64</v>
      </c>
    </row>
    <row r="16" customFormat="false" ht="21.7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21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21.7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customFormat="false" ht="21.7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21.7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21.7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21.7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21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21.7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customFormat="false" ht="21.7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</sheetData>
  <autoFilter ref="A4:N15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17" t="s">
        <v>75</v>
      </c>
      <c r="B1" s="17"/>
      <c r="C1" s="17"/>
      <c r="D1" s="17"/>
      <c r="E1" s="17"/>
      <c r="F1" s="17"/>
      <c r="G1" s="17"/>
      <c r="H1" s="17"/>
    </row>
    <row r="2" customFormat="false" ht="19.5" hidden="false" customHeight="true" outlineLevel="0" collapsed="false">
      <c r="A2" s="18" t="s">
        <v>76</v>
      </c>
      <c r="B2" s="18"/>
      <c r="C2" s="18"/>
      <c r="D2" s="18"/>
      <c r="E2" s="18"/>
      <c r="F2" s="18"/>
      <c r="G2" s="18"/>
      <c r="H2" s="18"/>
    </row>
    <row r="3" customFormat="false" ht="12" hidden="false" customHeight="true" outlineLevel="0" collapsed="false"/>
    <row r="4" customFormat="false" ht="25.5" hidden="false" customHeight="true" outlineLevel="0" collapsed="false">
      <c r="A4" s="19" t="s">
        <v>77</v>
      </c>
      <c r="B4" s="19"/>
      <c r="C4" s="20" t="s">
        <v>78</v>
      </c>
      <c r="D4" s="20"/>
      <c r="E4" s="21" t="s">
        <v>79</v>
      </c>
      <c r="F4" s="21"/>
      <c r="G4" s="22" t="s">
        <v>80</v>
      </c>
      <c r="H4" s="22"/>
    </row>
    <row r="5" customFormat="false" ht="43.5" hidden="false" customHeight="true" outlineLevel="0" collapsed="false">
      <c r="A5" s="23" t="n">
        <f aca="false">COUNTIF('Suivi Visites'!G5:G100,"Partenaire actif")</f>
        <v>2</v>
      </c>
      <c r="B5" s="23"/>
      <c r="C5" s="24" t="n">
        <f aca="false">COUNTIF('Suivi Visites'!J5:J100,"Flash")</f>
        <v>1</v>
      </c>
      <c r="D5" s="24"/>
      <c r="E5" s="25" t="n">
        <f aca="false">COUNTIF('Suivi Visites'!G5:G100,"À contacter")</f>
        <v>8</v>
      </c>
      <c r="F5" s="25"/>
      <c r="G5" s="26" t="n">
        <f aca="false">COUNTIF('Suivi Visites'!G5:G100,"Partenaire actif")*9.9</f>
        <v>19.8</v>
      </c>
      <c r="H5" s="26"/>
    </row>
    <row r="6" customFormat="false" ht="13.5" hidden="false" customHeight="true" outlineLevel="0" collapsed="false"/>
    <row r="7" customFormat="false" ht="25.5" hidden="false" customHeight="true" outlineLevel="0" collapsed="false">
      <c r="A7" s="27" t="s">
        <v>81</v>
      </c>
    </row>
    <row r="8" customFormat="false" ht="25.5" hidden="false" customHeight="true" outlineLevel="0" collapsed="false">
      <c r="A8" s="3" t="s">
        <v>3</v>
      </c>
      <c r="B8" s="3" t="s">
        <v>82</v>
      </c>
      <c r="C8" s="3" t="s">
        <v>83</v>
      </c>
      <c r="D8" s="3" t="s">
        <v>46</v>
      </c>
    </row>
    <row r="9" customFormat="false" ht="21.75" hidden="false" customHeight="true" outlineLevel="0" collapsed="false">
      <c r="A9" s="4" t="s">
        <v>17</v>
      </c>
      <c r="B9" s="5" t="n">
        <f aca="false">COUNTIF('Suivi Visites'!B5:B100,"Restos")</f>
        <v>2</v>
      </c>
      <c r="C9" s="5" t="n">
        <f aca="false">COUNTIFS('Suivi Visites'!B5:B100,"Restos",'Suivi Visites'!G5:G100,"Partenaire actif")</f>
        <v>1</v>
      </c>
      <c r="D9" s="5" t="n">
        <f aca="false">COUNTIFS('Suivi Visites'!B5:B100,"Restos",'Suivi Visites'!G5:G100,"À contacter")</f>
        <v>1</v>
      </c>
    </row>
    <row r="10" customFormat="false" ht="21.75" hidden="false" customHeight="true" outlineLevel="0" collapsed="false">
      <c r="A10" s="9" t="s">
        <v>30</v>
      </c>
      <c r="B10" s="10" t="n">
        <f aca="false">COUNTIF('Suivi Visites'!B5:B100,"Loisirs")</f>
        <v>4</v>
      </c>
      <c r="C10" s="10" t="n">
        <f aca="false">COUNTIFS('Suivi Visites'!B5:B100,"Loisirs",'Suivi Visites'!G5:G100,"Partenaire actif")</f>
        <v>1</v>
      </c>
      <c r="D10" s="10" t="n">
        <f aca="false">COUNTIFS('Suivi Visites'!B5:B100,"Loisirs",'Suivi Visites'!G5:G100,"À contacter")</f>
        <v>2</v>
      </c>
    </row>
    <row r="11" customFormat="false" ht="21.75" hidden="false" customHeight="true" outlineLevel="0" collapsed="false">
      <c r="A11" s="4" t="s">
        <v>56</v>
      </c>
      <c r="B11" s="5" t="n">
        <f aca="false">COUNTIF('Suivi Visites'!B5:B100,"Sport")</f>
        <v>3</v>
      </c>
      <c r="C11" s="5" t="n">
        <f aca="false">COUNTIFS('Suivi Visites'!B5:B100,"Sport",'Suivi Visites'!G5:G100,"Partenaire actif")</f>
        <v>0</v>
      </c>
      <c r="D11" s="5" t="n">
        <f aca="false">COUNTIFS('Suivi Visites'!B5:B100,"Sport",'Suivi Visites'!G5:G100,"À contacter")</f>
        <v>3</v>
      </c>
    </row>
    <row r="12" customFormat="false" ht="21.75" hidden="false" customHeight="true" outlineLevel="0" collapsed="false">
      <c r="A12" s="9" t="s">
        <v>72</v>
      </c>
      <c r="B12" s="10" t="n">
        <f aca="false">COUNTIF('Suivi Visites'!B5:B100,"Culture")</f>
        <v>1</v>
      </c>
      <c r="C12" s="10" t="n">
        <f aca="false">COUNTIFS('Suivi Visites'!B5:B100,"Culture",'Suivi Visites'!G5:G100,"Partenaire actif")</f>
        <v>0</v>
      </c>
      <c r="D12" s="10" t="n">
        <f aca="false">COUNTIFS('Suivi Visites'!B5:B100,"Culture",'Suivi Visites'!G5:G100,"À contacter")</f>
        <v>1</v>
      </c>
    </row>
    <row r="13" customFormat="false" ht="21.75" hidden="false" customHeight="true" outlineLevel="0" collapsed="false">
      <c r="A13" s="4" t="s">
        <v>68</v>
      </c>
      <c r="B13" s="5" t="n">
        <f aca="false">COUNTIF('Suivi Visites'!B5:B100,"Tech")</f>
        <v>1</v>
      </c>
      <c r="C13" s="5" t="n">
        <f aca="false">COUNTIFS('Suivi Visites'!B5:B100,"Tech",'Suivi Visites'!G5:G100,"Partenaire actif")</f>
        <v>0</v>
      </c>
      <c r="D13" s="5" t="n">
        <f aca="false">COUNTIFS('Suivi Visites'!B5:B100,"Tech",'Suivi Visites'!G5:G100,"À contacter")</f>
        <v>1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5" min="3" style="0" width="10"/>
  </cols>
  <sheetData>
    <row r="1" customFormat="false" ht="33.75" hidden="false" customHeight="true" outlineLevel="0" collapsed="false">
      <c r="A1" s="28" t="s">
        <v>84</v>
      </c>
      <c r="B1" s="28"/>
      <c r="C1" s="28"/>
      <c r="D1" s="28"/>
      <c r="E1" s="28"/>
    </row>
    <row r="2" customFormat="false" ht="9.75" hidden="false" customHeight="true" outlineLevel="0" collapsed="false"/>
    <row r="3" customFormat="false" ht="24" hidden="false" customHeight="true" outlineLevel="0" collapsed="false">
      <c r="A3" s="29" t="s">
        <v>85</v>
      </c>
      <c r="B3" s="29"/>
      <c r="C3" s="29"/>
      <c r="D3" s="29"/>
      <c r="E3" s="29"/>
    </row>
    <row r="4" customFormat="false" ht="9.75" hidden="false" customHeight="true" outlineLevel="0" collapsed="false"/>
    <row r="5" customFormat="false" ht="24" hidden="false" customHeight="true" outlineLevel="0" collapsed="false">
      <c r="A5" s="29" t="s">
        <v>86</v>
      </c>
      <c r="B5" s="29"/>
      <c r="C5" s="29"/>
      <c r="D5" s="29"/>
      <c r="E5" s="29"/>
    </row>
    <row r="6" customFormat="false" ht="19.5" hidden="false" customHeight="true" outlineLevel="0" collapsed="false">
      <c r="B6" s="30" t="s">
        <v>87</v>
      </c>
      <c r="C6" s="30"/>
      <c r="D6" s="30"/>
      <c r="E6" s="30"/>
    </row>
    <row r="7" customFormat="false" ht="19.5" hidden="false" customHeight="true" outlineLevel="0" collapsed="false">
      <c r="B7" s="30" t="s">
        <v>88</v>
      </c>
      <c r="C7" s="30"/>
      <c r="D7" s="30"/>
      <c r="E7" s="30"/>
    </row>
    <row r="8" customFormat="false" ht="19.5" hidden="false" customHeight="true" outlineLevel="0" collapsed="false">
      <c r="B8" s="30" t="s">
        <v>89</v>
      </c>
      <c r="C8" s="30"/>
      <c r="D8" s="30"/>
      <c r="E8" s="30"/>
    </row>
    <row r="9" customFormat="false" ht="9.75" hidden="false" customHeight="true" outlineLevel="0" collapsed="false"/>
    <row r="10" customFormat="false" ht="24" hidden="false" customHeight="true" outlineLevel="0" collapsed="false">
      <c r="A10" s="29" t="s">
        <v>90</v>
      </c>
      <c r="B10" s="29"/>
      <c r="C10" s="29"/>
      <c r="D10" s="29"/>
      <c r="E10" s="29"/>
    </row>
    <row r="11" customFormat="false" ht="19.5" hidden="false" customHeight="true" outlineLevel="0" collapsed="false">
      <c r="B11" s="30" t="s">
        <v>91</v>
      </c>
      <c r="C11" s="30"/>
      <c r="D11" s="30"/>
      <c r="E11" s="30"/>
    </row>
    <row r="12" customFormat="false" ht="19.5" hidden="false" customHeight="true" outlineLevel="0" collapsed="false">
      <c r="B12" s="30" t="s">
        <v>92</v>
      </c>
      <c r="C12" s="30"/>
      <c r="D12" s="30"/>
      <c r="E12" s="30"/>
    </row>
    <row r="13" customFormat="false" ht="19.5" hidden="false" customHeight="true" outlineLevel="0" collapsed="false">
      <c r="B13" s="30" t="s">
        <v>93</v>
      </c>
      <c r="C13" s="30"/>
      <c r="D13" s="30"/>
      <c r="E13" s="30"/>
    </row>
    <row r="14" customFormat="false" ht="9.75" hidden="false" customHeight="true" outlineLevel="0" collapsed="false"/>
    <row r="15" customFormat="false" ht="24" hidden="false" customHeight="true" outlineLevel="0" collapsed="false">
      <c r="A15" s="29" t="s">
        <v>94</v>
      </c>
      <c r="B15" s="29"/>
      <c r="C15" s="29"/>
      <c r="D15" s="29"/>
      <c r="E15" s="29"/>
    </row>
    <row r="16" customFormat="false" ht="19.5" hidden="false" customHeight="true" outlineLevel="0" collapsed="false">
      <c r="B16" s="30" t="s">
        <v>95</v>
      </c>
      <c r="C16" s="30"/>
      <c r="D16" s="30"/>
      <c r="E16" s="30"/>
    </row>
    <row r="17" customFormat="false" ht="19.5" hidden="false" customHeight="true" outlineLevel="0" collapsed="false">
      <c r="B17" s="30" t="s">
        <v>96</v>
      </c>
      <c r="C17" s="30"/>
      <c r="D17" s="30"/>
      <c r="E17" s="30"/>
    </row>
    <row r="18" customFormat="false" ht="19.5" hidden="false" customHeight="true" outlineLevel="0" collapsed="false">
      <c r="B18" s="30" t="s">
        <v>97</v>
      </c>
      <c r="C18" s="30"/>
      <c r="D18" s="30"/>
      <c r="E18" s="30"/>
    </row>
    <row r="19" customFormat="false" ht="9.75" hidden="false" customHeight="true" outlineLevel="0" collapsed="false"/>
    <row r="20" customFormat="false" ht="24" hidden="false" customHeight="true" outlineLevel="0" collapsed="false">
      <c r="A20" s="29" t="s">
        <v>98</v>
      </c>
      <c r="B20" s="29"/>
      <c r="C20" s="29"/>
      <c r="D20" s="29"/>
      <c r="E20" s="29"/>
    </row>
    <row r="21" customFormat="false" ht="9.75" hidden="false" customHeight="true" outlineLevel="0" collapsed="false"/>
    <row r="22" customFormat="false" ht="19.5" hidden="false" customHeight="true" outlineLevel="0" collapsed="false">
      <c r="A22" s="31" t="s">
        <v>99</v>
      </c>
      <c r="B22" s="32" t="s">
        <v>100</v>
      </c>
      <c r="C22" s="32"/>
      <c r="D22" s="32"/>
      <c r="E22" s="32"/>
    </row>
    <row r="23" customFormat="false" ht="19.5" hidden="false" customHeight="true" outlineLevel="0" collapsed="false">
      <c r="A23" s="31" t="s">
        <v>101</v>
      </c>
      <c r="B23" s="32" t="s">
        <v>102</v>
      </c>
      <c r="C23" s="32"/>
      <c r="D23" s="32"/>
      <c r="E23" s="32"/>
    </row>
    <row r="24" customFormat="false" ht="19.5" hidden="false" customHeight="true" outlineLevel="0" collapsed="false">
      <c r="A24" s="31" t="s">
        <v>103</v>
      </c>
      <c r="B24" s="32" t="s">
        <v>104</v>
      </c>
      <c r="C24" s="32"/>
      <c r="D24" s="32"/>
      <c r="E24" s="32"/>
    </row>
    <row r="25" customFormat="false" ht="19.5" hidden="false" customHeight="true" outlineLevel="0" collapsed="false">
      <c r="A25" s="31" t="s">
        <v>105</v>
      </c>
      <c r="B25" s="32" t="s">
        <v>106</v>
      </c>
      <c r="C25" s="32"/>
      <c r="D25" s="32"/>
      <c r="E25" s="32"/>
    </row>
    <row r="26" customFormat="false" ht="9.75" hidden="false" customHeight="true" outlineLevel="0" collapsed="false"/>
    <row r="27" customFormat="false" ht="24" hidden="false" customHeight="true" outlineLevel="0" collapsed="false">
      <c r="A27" s="29" t="s">
        <v>107</v>
      </c>
      <c r="B27" s="29"/>
      <c r="C27" s="29"/>
      <c r="D27" s="29"/>
      <c r="E27" s="29"/>
    </row>
    <row r="28" customFormat="false" ht="19.5" hidden="false" customHeight="true" outlineLevel="0" collapsed="false">
      <c r="B28" s="30" t="s">
        <v>108</v>
      </c>
      <c r="C28" s="30"/>
      <c r="D28" s="30"/>
      <c r="E28" s="30"/>
    </row>
  </sheetData>
  <mergeCells count="21">
    <mergeCell ref="A1:E1"/>
    <mergeCell ref="A3:E3"/>
    <mergeCell ref="A5:E5"/>
    <mergeCell ref="B6:E6"/>
    <mergeCell ref="B7:E7"/>
    <mergeCell ref="B8:E8"/>
    <mergeCell ref="A10:E10"/>
    <mergeCell ref="B11:E11"/>
    <mergeCell ref="B12:E12"/>
    <mergeCell ref="B13:E13"/>
    <mergeCell ref="A15:E15"/>
    <mergeCell ref="B16:E16"/>
    <mergeCell ref="B17:E17"/>
    <mergeCell ref="B18:E18"/>
    <mergeCell ref="A20:E20"/>
    <mergeCell ref="B22:E22"/>
    <mergeCell ref="B23:E23"/>
    <mergeCell ref="B24:E24"/>
    <mergeCell ref="B25:E25"/>
    <mergeCell ref="A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2026-03-23T22:15:16Z</dcterms:created>
  <dc:creator>openpyxl</dc:creator>
  <dc:description/>
  <dc:language>en-US</dc:language>
  <cp:lastModifiedBy/>
  <dcterms:modified xsi:type="dcterms:W3CDTF">2026-03-23T22:15:17Z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